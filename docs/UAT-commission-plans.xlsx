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ริ่มที่นี่" sheetId="1" state="visible" r:id="rId3"/>
    <sheet name="1 Unilevel" sheetId="2" state="visible" r:id="rId4"/>
    <sheet name="2 Binary" sheetId="3" state="visible" r:id="rId5"/>
    <sheet name="3 Matrix" sheetId="4" state="visible" r:id="rId6"/>
    <sheet name="4 Stairstep" sheetId="5" state="visible" r:id="rId7"/>
    <sheet name="5 Generation" sheetId="6" state="visible" r:id="rId8"/>
    <sheet name="6 Affiliate" sheetId="7" state="visible" r:id="rId9"/>
    <sheet name="7 ล็อกแผน" sheetId="8" state="visible" r:id="rId10"/>
    <sheet name="8 จ่ายเงิน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<sst xmlns="http://schemas.openxmlformats.org/spreadsheetml/2006/main" count="375" uniqueCount="215">
  <si>
    <t xml:space="preserve">UAT — ตรวจการตั้งค่าและการแบ่งค่าคอมทั้ง 6 แผน</t>
  </si>
  <si>
    <t xml:space="preserve">Live to 100 Club · เอกสารนี้คู่กับคำสั่ง uat:seed-commission-plans</t>
  </si>
  <si>
    <t xml:space="preserve">สิ่งที่ชุดนี้ทำ</t>
  </si>
  <si>
    <t xml:space="preserve">สร้างบริษัททดสอบ 6 แห่ง แห่งละหนึ่งแผนค่าแนะนำ พร้อมสินค้า ตัวแทน สายงาน อัตรา และ 'การขายจริง' หนึ่งรายการต่อบริษัท (ใบสั่งซื้อ → สลิป → ยืนยันชำระเงิน) เพื่อให้ตรวจได้ว่าระบบ 'จ่ายจริง' ตรงกับที่แผนบอกไว้หรือไม่</t>
  </si>
  <si>
    <t xml:space="preserve">ทำไมต้องขายจริง</t>
  </si>
  <si>
    <t xml:space="preserve">หน้าตั้งค่าบอกได้แค่ว่า 'ตั้งอะไรไว้' ไม่ได้บอกว่า 'จ่ายเท่าไร' — และช่องว่างระหว่างสองอย่างนี้ คือที่ที่บั๊กซ่อนอยู่ เคสจริงที่เจอมาแล้ว: ออเดอร์ชำระแล้ว 14 ใบ แต่ไม่มีค่าคอมลงบัญชีเลยสักบาท</t>
  </si>
  <si>
    <t xml:space="preserve">วิธีรัน</t>
  </si>
  <si>
    <t xml:space="preserve">php artisan uat:seed-commission-plans        (ถามยืนยันก่อน 1 ครั้ง)
php artisan uat:purge-commission-plans       (ลบทิ้งทั้งหมดเมื่อทดสอบเสร็จ)</t>
  </si>
  <si>
    <t xml:space="preserve">ปลอดภัยกับ production ไหม</t>
  </si>
  <si>
    <t xml:space="preserve">ใช่ — ทุกแถวที่สร้างขึ้นผูกกับบริษัทที่ slug ขึ้นต้นด้วย uat-plan- เท่านั้น คำสั่งไม่อ่านและไม่แก้บริษัทอื่นเลย และคำสั่งลบจะปฏิเสธถ้าเจอบริษัทที่ไม่ใช่ของมัน</t>
  </si>
  <si>
    <t xml:space="preserve">ล็อกอินเป็นตัวแทน UAT ได้ไหม</t>
  </si>
  <si>
    <t xml:space="preserve">ไม่ได้ และตั้งใจให้ไม่ได้ — บัญชีเหล่านี้ตั้งรหัสผ่านแบบสุ่มและใช้อีเมล .invalid ที่ส่งเมลไม่ถึง ตรวจทุกอย่างผ่านหน้า Admin ด้วยบัญชี Super Admin ของคุณเอง (การสร้างบัญชีรหัสผ่านที่เดาได้ 6 บัญชีบนเซิร์ฟเวอร์จริง คือการเปิดทางเข้าเพิ่ม 6 ทางโดยไม่จำเป็น)</t>
  </si>
  <si>
    <t xml:space="preserve">ตัวเลขในเอกสารนี้มาจากไหน</t>
  </si>
  <si>
    <t xml:space="preserve">คำนวณด้วยมือจากกติกาของแต่ละแผน ไม่ได้ copy มาจากผลลัพธ์ที่ระบบพ่นออกมา ถ้าระบบให้ตัวเลขไม่ตรงกับช่อง 'ควรได้' แปลว่ามีอย่างใดอย่างหนึ่งผิด — นั่นคือสิ่งที่ QA ต้องรายงาน</t>
  </si>
  <si>
    <t xml:space="preserve">ค่าที่ใช้ทดสอบ</t>
  </si>
  <si>
    <t xml:space="preserve">ราคาสินค้า ฿10,000.00 · PV ฿7,000.00 · อัตราผู้ขาย 10% · หัวหน้า 5/3/1% — เลือกให้คิดเลขในใจได้ ไม่ใช่ข้อเสนอว่าบริษัทจริงควรจ่ายเท่าไร (BR-7)</t>
  </si>
  <si>
    <t xml:space="preserve">ตั้งจ่ายเงินได้เลย</t>
  </si>
  <si>
    <t xml:space="preserve">ตัวแทน UAT ทุกคนถูกกรอกบัญชีธนาคารและเอกสารยืนยันตัวตนไว้ให้แล้ว จึงขึ้นในคิว 'ตั้งจ่ายได้เลย' ได้ทันที — เลขบัญชีและเลขเอกสารขึ้นต้นด้วย UAT ทั้งหมด และเป็นหนังสือเดินทางไม่ใช่เลขบัตรประชาชน จึงไม่มีทางชนกับข้อมูลของคนจริง (ดูชีต 8)</t>
  </si>
  <si>
    <t xml:space="preserve">ยังไม่ครอบคลุม</t>
  </si>
  <si>
    <t xml:space="preserve">การคืนเงินและการกลับรายการ · ค่าคอมต่ออายุ · การแบ่งค่าคอมกับผู้ขายร่วม — แต่ละเรื่องมีทางเดินของตัวเองและควรมีชุดทดสอบแยก</t>
  </si>
  <si>
    <t xml:space="preserve">สรุปผลรวมทุกแผน</t>
  </si>
  <si>
    <t xml:space="preserve">แผน</t>
  </si>
  <si>
    <t xml:space="preserve">ยอดจ่ายออกรวมที่ควรได้ (บาท)</t>
  </si>
  <si>
    <t xml:space="preserve">Unilevel</t>
  </si>
  <si>
    <t xml:space="preserve">Binary</t>
  </si>
  <si>
    <t xml:space="preserve">Matrix</t>
  </si>
  <si>
    <t xml:space="preserve">Stairstep</t>
  </si>
  <si>
    <t xml:space="preserve">Generation</t>
  </si>
  <si>
    <t xml:space="preserve">พันธมิตร (Affiliate)</t>
  </si>
  <si>
    <t xml:space="preserve">ยอดของ Binary รวมส่วนที่ต้องรันรอบจับคู่ก่อนถึงจะเกิดขึ้น · ยอดของ Matrix คิดจาก PV ไม่ใช่ราคา</t>
  </si>
  <si>
    <t xml:space="preserve">Unilevel — จ่ายขึ้นไปทีละชั้น</t>
  </si>
  <si>
    <t xml:space="preserve">บริษัท: uat-plan-unilevel · ฐานการคำนวณ: ราคาขาย ฿10,000.00</t>
  </si>
  <si>
    <t xml:space="preserve">กติกา: ผู้ขายได้อัตราของตัวเอง แล้วหัวหน้าแต่ละชั้นเหนือขึ้นไปได้ตามอัตราของชั้นนั้น โหมด additive = บริษัทจ่ายเพิ่มให้หัวหน้า ไม่หักจากผู้ขาย</t>
  </si>
  <si>
    <t xml:space="preserve">ขั้นที่ 1 — ตรวจว่าหน้าตั้งค่าแสดงค่าเหล่านี้</t>
  </si>
  <si>
    <t xml:space="preserve">ค่าที่ตั้ง</t>
  </si>
  <si>
    <t xml:space="preserve">ต้องเป็น</t>
  </si>
  <si>
    <t xml:space="preserve">ตรงไหม</t>
  </si>
  <si>
    <t xml:space="preserve">แผนค่าแนะนำ</t>
  </si>
  <si>
    <t xml:space="preserve">ฐานการคำนวณ</t>
  </si>
  <si>
    <t xml:space="preserve">ราคาขาย</t>
  </si>
  <si>
    <t xml:space="preserve">อัตราผู้ขาย (ทั้งบริษัท)</t>
  </si>
  <si>
    <t xml:space="preserve">10.00%</t>
  </si>
  <si>
    <t xml:space="preserve">อัตราชั้นที่ 1</t>
  </si>
  <si>
    <t xml:space="preserve">5.00%</t>
  </si>
  <si>
    <t xml:space="preserve">อัตราชั้นที่ 2</t>
  </si>
  <si>
    <t xml:space="preserve">3.00%</t>
  </si>
  <si>
    <t xml:space="preserve">อัตราชั้นที่ 3</t>
  </si>
  <si>
    <t xml:space="preserve">1.00%</t>
  </si>
  <si>
    <t xml:space="preserve">โหมดหักค่าคอมหัวหน้า</t>
  </si>
  <si>
    <t xml:space="preserve">additive (บริษัทจ่ายเพิ่ม)</t>
  </si>
  <si>
    <t xml:space="preserve">สายงาน</t>
  </si>
  <si>
    <t xml:space="preserve">ผู้ขาย → หัวหน้าชั้น 1 → หัวหน้าชั้น 2 → หัวหน้าชั้น 3</t>
  </si>
  <si>
    <t xml:space="preserve">ขั้นที่ 2 — ตรวจว่าค่าคอมที่ลงบัญชีตรงกับนี้</t>
  </si>
  <si>
    <t xml:space="preserve">ใคร</t>
  </si>
  <si>
    <t xml:space="preserve">ได้จาก (earned_via)</t>
  </si>
  <si>
    <t xml:space="preserve">อัตรา</t>
  </si>
  <si>
    <t xml:space="preserve">ควรได้ (บาท)</t>
  </si>
  <si>
    <t xml:space="preserve">ที่มาของตัวเลข</t>
  </si>
  <si>
    <t xml:space="preserve">ผ่าน / ไม่ผ่าน</t>
  </si>
  <si>
    <t xml:space="preserve">UAT ผู้ขาย</t>
  </si>
  <si>
    <t xml:space="preserve">direct</t>
  </si>
  <si>
    <t xml:space="preserve">10% ของ ฿10,000</t>
  </si>
  <si>
    <t xml:space="preserve">UAT หัวหน้าชั้น 1</t>
  </si>
  <si>
    <t xml:space="preserve">override</t>
  </si>
  <si>
    <t xml:space="preserve">5% ของ ฿10,000</t>
  </si>
  <si>
    <t xml:space="preserve">UAT หัวหน้าชั้น 2</t>
  </si>
  <si>
    <t xml:space="preserve">3% ของ ฿10,000</t>
  </si>
  <si>
    <t xml:space="preserve">UAT หัวหน้าชั้น 3</t>
  </si>
  <si>
    <t xml:space="preserve">1% ของ ฿10,000</t>
  </si>
  <si>
    <t xml:space="preserve">รวมจ่ายออก</t>
  </si>
  <si>
    <t xml:space="preserve">ขั้นที่ 3 — จุดที่มักพลาด</t>
  </si>
  <si>
    <t xml:space="preserve">· ผู้ขายต้องได้เต็ม ฿1,000 — ถ้าน้อยกว่านี้ แปลว่าระบบไปหักค่าหัวหน้าจากผู้ขาย ซึ่งผิดโหมด additive</t>
  </si>
  <si>
    <t xml:space="preserve">· ต้องมีครบ 4 แถว — ขาดแถวไหนแปลว่าหัวหน้าคนนั้นถูกข้าม (มักเพราะยังไม่ผ่าน Basic ตาม BR-1)</t>
  </si>
  <si>
    <t xml:space="preserve">บันทึกของผู้ทดสอบ</t>
  </si>
  <si>
    <t xml:space="preserve">Binary — จ่ายจากขาที่น้อยกว่า และจ่ายเป็นรอบ</t>
  </si>
  <si>
    <t xml:space="preserve">บริษัท: uat-plan-binary · ฐานการคำนวณ: ราคาขาย ฿10,000.00</t>
  </si>
  <si>
    <t xml:space="preserve">กติกา: ผู้ขายแต่ละคนได้อัตราของตัวเองทันทีที่ปิดการขาย ส่วนผู้สนับสนุนจะได้เมื่อ รอบจับคู่ทำงาน โดยคิดจากยอดขาที่น้อยกว่า</t>
  </si>
  <si>
    <t xml:space="preserve">อัตราจับคู่ (matched)</t>
  </si>
  <si>
    <t xml:space="preserve">รอบจับคู่</t>
  </si>
  <si>
    <t xml:space="preserve">รายสัปดาห์</t>
  </si>
  <si>
    <t xml:space="preserve">เพดานต่อรอบ</t>
  </si>
  <si>
    <t xml:space="preserve">ไม่จำกัด</t>
  </si>
  <si>
    <t xml:space="preserve">ยกยอดที่เหลือไปรอบหน้า</t>
  </si>
  <si>
    <t xml:space="preserve">เปิด</t>
  </si>
  <si>
    <t xml:space="preserve">ผู้สนับสนุน ← ขาซ้าย / ขาขวา (คนละ 1 การขาย)</t>
  </si>
  <si>
    <t xml:space="preserve">UAT ขาซ้าย</t>
  </si>
  <si>
    <t xml:space="preserve">UAT ขาขวา</t>
  </si>
  <si>
    <t xml:space="preserve">UAT ผู้สนับสนุน</t>
  </si>
  <si>
    <t xml:space="preserve">binary_match</t>
  </si>
  <si>
    <t xml:space="preserve">หลังรันรอบจับคู่เท่านั้น: จับคู่ได้ min(฿10,000, ฿10,000) = ฿10,000 → 10%</t>
  </si>
  <si>
    <t xml:space="preserve">· ก่อนรันรอบจับคู่ ผู้สนับสนุนต้องได้ ฿0 — อันนี้ถูกต้อง ไม่ใช่บั๊ก Binary ไม่จ่ายต่อการขาย</t>
  </si>
  <si>
    <t xml:space="preserve">· สั่งรันรอบ: php artisan commissions:run-binary-cycles</t>
  </si>
  <si>
    <t xml:space="preserve">· ระวัง: คำสั่งนั้นประมวลผลทุกบริษัทที่ตั้ง Binary ไว้ ไม่ใช่เฉพาะ UAT — ตัวคำสั่ง seed จะบอกท้ายผลลัพธ์ว่ามีบริษัทอื่นติดร่างแหไหม</t>
  </si>
  <si>
    <t xml:space="preserve">· ตัวแทนที่ไม่ได้ตั้งขา (ซ้าย/ขวา) จะไม่ส่งยอดขึ้นไปเลย และไม่มีข้อความเตือนใด ๆ</t>
  </si>
  <si>
    <t xml:space="preserve">Matrix — ผังกว้างจำกัด และคิดจาก PV</t>
  </si>
  <si>
    <t xml:space="preserve">บริษัท: uat-plan-matrix · ฐานการคำนวณ: PV ฿7,000.00  (ไม่ใช่ราคาขาย ฿10,000.00)</t>
  </si>
  <si>
    <t xml:space="preserve">กติกา: จ่ายขึ้นไปตามผัง matrix ของตัวเอง (คนละต้นกับสายหัวหน้า) ตามอัตราของแต่ละชั้น บริษัทนี้ตั้งใจให้คิดจาก PV เพื่อทดสอบฐานการคำนวณ</t>
  </si>
  <si>
    <t xml:space="preserve">PV  ← ต่างจากบริษัทอื่น</t>
  </si>
  <si>
    <t xml:space="preserve">PV ของสินค้า</t>
  </si>
  <si>
    <t xml:space="preserve">฿7,000.00</t>
  </si>
  <si>
    <t xml:space="preserve">ผังกว้าง / ลึก</t>
  </si>
  <si>
    <t xml:space="preserve">3 ช่อง / 2 ชั้น</t>
  </si>
  <si>
    <t xml:space="preserve">อัตราชั้นที่ 1 ในผัง</t>
  </si>
  <si>
    <t xml:space="preserve">อัตราชั้นที่ 2 ในผัง</t>
  </si>
  <si>
    <t xml:space="preserve">ผัง matrix</t>
  </si>
  <si>
    <t xml:space="preserve">ชั้นบนสุด → ชั้นกลาง → ผู้ขาย</t>
  </si>
  <si>
    <t xml:space="preserve">10% ของ PV ฿7,000 ไม่ใช่ของราคา ฿10,000</t>
  </si>
  <si>
    <t xml:space="preserve">UAT ชั้นกลาง</t>
  </si>
  <si>
    <t xml:space="preserve">matrix_override</t>
  </si>
  <si>
    <t xml:space="preserve">5% ของ PV ฿7,000</t>
  </si>
  <si>
    <t xml:space="preserve">UAT ชั้นบนสุด</t>
  </si>
  <si>
    <t xml:space="preserve">3% ของ PV ฿7,000</t>
  </si>
  <si>
    <t xml:space="preserve">· ตัวเลขทั้งหมดต้องเป็น 70% ของบริษัทที่คิดจากราคา — ถ้าได้ ฿1,000 แทน ฿700 แปลว่าฐาน PV ไม่ถูกใช้</t>
  </si>
  <si>
    <t xml:space="preserve">· Matrix เดินตามผังของตัวเอง ไม่ใช่สายหัวหน้า — ตัวแทนที่มีหัวหน้าแต่ไม่ถูกวางในผัง จะไม่ได้อะไรเลยโดยไม่มีคำเตือน</t>
  </si>
  <si>
    <t xml:space="preserve">· ลองลดราคาสินค้าแล้วขายใหม่: ค่าคอมต้องไม่ลดตาม เพราะคิดจาก PV</t>
  </si>
  <si>
    <t xml:space="preserve">Stairstep — หัวหน้าได้เฉพาะส่วนต่างของขั้น</t>
  </si>
  <si>
    <t xml:space="preserve">บริษัท: uat-plan-stairstep-breakaway · ฐานการคำนวณ: ราคาขาย ฿10,000.00</t>
  </si>
  <si>
    <t xml:space="preserve">กติกา: หัวหน้าแต่ละคนได้เฉพาะส่วนที่อัตราขั้นของตัวเองสูงกว่าขั้นของลูกทีม และหยุดทันทีที่เจอคนที่ถึงขั้นตัดสาย</t>
  </si>
  <si>
    <t xml:space="preserve">อันดับ (Stairstep)</t>
  </si>
  <si>
    <t xml:space="preserve">5.00%  ← ตั้งให้เท่ากับขั้นของผู้ขาย</t>
  </si>
  <si>
    <t xml:space="preserve">ขั้นเริ่มต้น</t>
  </si>
  <si>
    <t xml:space="preserve">5.00% · ยอด ฿0</t>
  </si>
  <si>
    <t xml:space="preserve">ขั้นผู้นำ</t>
  </si>
  <si>
    <t xml:space="preserve">10.00% · ยอด ฿50,000</t>
  </si>
  <si>
    <t xml:space="preserve">ขั้นผู้จัดการ</t>
  </si>
  <si>
    <t xml:space="preserve">15.00% · ยอด ฿200,000 · ตัดสาย</t>
  </si>
  <si>
    <t xml:space="preserve">ผู้ขาย (เริ่มต้น) → ผู้นำ → ผู้จัดการ (ตัดสาย)</t>
  </si>
  <si>
    <t xml:space="preserve">UAT ผู้นำ</t>
  </si>
  <si>
    <t xml:space="preserve">stairstep_override</t>
  </si>
  <si>
    <t xml:space="preserve">ส่วนต่าง 10% − 5% = 5%</t>
  </si>
  <si>
    <t xml:space="preserve">UAT ผู้จัดการ (ตัดสาย)</t>
  </si>
  <si>
    <t xml:space="preserve">ส่วนต่าง 15% − 10% = 5%</t>
  </si>
  <si>
    <t xml:space="preserve">· สามแถวได้เท่ากันโดยบังเอิญจากค่าที่ตั้งไว้ — ตรวจที่ชื่อคน อย่าตรวจแค่ยอด</t>
  </si>
  <si>
    <t xml:space="preserve">· คำถามออกแบบที่ยังค้าง: อัตราของผู้ขายมาจาก commission_rules ไม่ได้มาจากขั้นของตัวเอง ชุดทดสอบนี้จงใจตั้งให้ตรงกันไว้ ถ้าตั้งไม่ตรงกันจะมี 'อัตราผู้ขาย' สองค่าบนหน้าจอเดียว</t>
  </si>
  <si>
    <t xml:space="preserve">· ลองเลื่อนผู้ขายขึ้นเป็นขั้นตัดสาย: หัวหน้าทุกคนเหนือขึ้นไปต้องได้ ฿0 ทันที</t>
  </si>
  <si>
    <t xml:space="preserve">Generation — ข้ามคนที่ยังไม่ถึงขั้นตัดสาย</t>
  </si>
  <si>
    <t xml:space="preserve">บริษัท: uat-plan-generation · ฐานการคำนวณ: ราคาขาย ฿10,000.00</t>
  </si>
  <si>
    <t xml:space="preserve">กติกา: เดินขึ้นจากผู้ขาย นับเป็นรุ่นเฉพาะเมื่อเจอคนที่ถึงขั้นตัดสาย คนที่ยังไม่ถึงขั้นถูกข้ามไปเฉย ๆ ไม่ได้เงินและไม่นับเป็นรุ่น</t>
  </si>
  <si>
    <t xml:space="preserve">จำนวนรุ่นสูงสุด</t>
  </si>
  <si>
    <t xml:space="preserve">2</t>
  </si>
  <si>
    <t xml:space="preserve">อัตรารุ่นที่ 1</t>
  </si>
  <si>
    <t xml:space="preserve">อัตรารุ่นที่ 2</t>
  </si>
  <si>
    <t xml:space="preserve">ผู้ขาย → ก → ข (ตัดสาย) → ค → ง (ตัดสาย)</t>
  </si>
  <si>
    <t xml:space="preserve">UAT หัวหน้า ก</t>
  </si>
  <si>
    <t xml:space="preserve">—</t>
  </si>
  <si>
    <t xml:space="preserve">ยังไม่ถึงขั้นตัดสาย → ถูกข้าม ไม่มีแถวในบัญชี</t>
  </si>
  <si>
    <t xml:space="preserve">UAT หัวหน้า ข (ตัดสาย)</t>
  </si>
  <si>
    <t xml:space="preserve">generation_override</t>
  </si>
  <si>
    <t xml:space="preserve">รุ่นที่ 1</t>
  </si>
  <si>
    <t xml:space="preserve">UAT หัวหน้า ค</t>
  </si>
  <si>
    <t xml:space="preserve">UAT หัวหน้า ง (ตัดสาย)</t>
  </si>
  <si>
    <t xml:space="preserve">รุ่นที่ 2</t>
  </si>
  <si>
    <t xml:space="preserve">· หัวหน้า ก อยู่เหนือผู้ขายโดยตรงแต่ได้ ฿0 — นี่คือพฤติกรรมที่ถูกต้องของแผนนี้ และเป็นเรื่องที่คนใช้งานจริงจะร้องเรียนมากที่สุด</t>
  </si>
  <si>
    <t xml:space="preserve">· ต้องมีแค่ 3 แถวในบัญชี ไม่ใช่ 5 — คนที่ถูกข้ามต้องไม่มีแถว ฿0</t>
  </si>
  <si>
    <t xml:space="preserve">· ลองเลื่อน ก ขึ้นเป็นขั้นตัดสาย: ก ต้องกลายเป็นรุ่นที่ 1 และ ง ต้องหลุดออกไป (เพราะจำกัด 2 รุ่น)</t>
  </si>
  <si>
    <t xml:space="preserve">พันธมิตร (Affiliate) — จ่ายขึ้นไปชั้นเดียว</t>
  </si>
  <si>
    <t xml:space="preserve">บริษัท: uat-plan-affiliate · ฐานการคำนวณ: ราคาขาย ฿10,000.00</t>
  </si>
  <si>
    <t xml:space="preserve">กติกา: ผู้แนะนำโดยตรงได้ส่วนแบ่งชั้นเดียว ไม่เดินขึ้นต่อ</t>
  </si>
  <si>
    <t xml:space="preserve">อัตราผู้แนะนำ</t>
  </si>
  <si>
    <t xml:space="preserve">โหมด</t>
  </si>
  <si>
    <t xml:space="preserve">ภาษีหัก ณ ที่จ่าย</t>
  </si>
  <si>
    <t xml:space="preserve">3.00%  ← บริษัทเดียวที่หัก ที่อื่นไม่หัก</t>
  </si>
  <si>
    <t xml:space="preserve">ผู้ขาย → ผู้แนะนำ</t>
  </si>
  <si>
    <t xml:space="preserve">10% ของ ฿10,000 — ไม่ถูกหัก</t>
  </si>
  <si>
    <t xml:space="preserve">UAT ผู้แนะนำ</t>
  </si>
  <si>
    <t xml:space="preserve">3% ของ ฿10,000 บริษัทจ่ายเพิ่ม</t>
  </si>
  <si>
    <t xml:space="preserve">· จบแค่ชั้นเดียว — ถ้าผู้แนะนำมีหัวหน้าอีกชั้น คนนั้นต้องไม่ได้อะไร</t>
  </si>
  <si>
    <t xml:space="preserve">· ลองสลับเป็นโหมด deductive: ผู้ขายต้องเหลือ ฿700 และยอดจ่ายออกรวมต้องเท่าเดิมที่ ฿1,000</t>
  </si>
  <si>
    <t xml:space="preserve">· บริษัทนี้หักภาษี ณ ที่จ่าย 3% — ยอดในตารางนี้คือยอดก่อนหัก ดูยอดโอนจริงในชีต 8</t>
  </si>
  <si>
    <t xml:space="preserve">ล็อกแผนเมื่อบริษัทขายไปแล้ว</t>
  </si>
  <si>
    <t xml:space="preserve">ทั้ง 6 บริษัทมีออเดอร์ที่ชำระแล้วและมีค่าคอมลงบัญชี จึงควรถูกล็อกทุกแห่ง — ใช้ชุดนี้ตรวจว่ากฎล็อกทำงานเหมือนกันทุกแผน</t>
  </si>
  <si>
    <t xml:space="preserve">#</t>
  </si>
  <si>
    <t xml:space="preserve">สิ่งที่ต้องเห็น</t>
  </si>
  <si>
    <t xml:space="preserve">ตรวจที่ไหน</t>
  </si>
  <si>
    <t xml:space="preserve">แถบเทามีไอคอนกุญแจ บอกจำนวนออเดอร์และจำนวนรายการค่าแนะนำ พร้อมวันที่รายการแรก</t>
  </si>
  <si>
    <t xml:space="preserve">ขั้นที่ 2 ใต้ชิปแผน</t>
  </si>
  <si>
    <t xml:space="preserve">ปุ่ม 'ใช้แผนนี้' ต้องไม่มี</t>
  </si>
  <si>
    <t xml:space="preserve">ขั้นที่ 2</t>
  </si>
  <si>
    <t xml:space="preserve">ชิปของแผนอื่นกดไม่ได้ และมีไอคอนกุญแจบนชิป</t>
  </si>
  <si>
    <t xml:space="preserve">ขั้นที่ 2 แถวชิป</t>
  </si>
  <si>
    <t xml:space="preserve">ชิปของแผนที่บริษัทใช้อยู่ยังกดได้ (เป็นทางกลับ ไม่ใช่ช่องโหว่)</t>
  </si>
  <si>
    <t xml:space="preserve">ปุ่มเลือกฐานการคำนวณ (ราคาขาย / PV) กดไม่ได้</t>
  </si>
  <si>
    <t xml:space="preserve">ขั้นที่ 2 การ์ด 'ค่าแนะนำคิดจากอะไร'</t>
  </si>
  <si>
    <t xml:space="preserve">ยิง PUT /api/v1/commission-settings เปลี่ยนแผนตรง ๆ ต้องได้ 422 พร้อมเหตุผลเป็นตัวเลขเดียวกับที่หน้าจอบอก</t>
  </si>
  <si>
    <t xml:space="preserve">เครื่องมือ API / DevTools</t>
  </si>
  <si>
    <t xml:space="preserve">กดกล่องในผังแล้วเลื่อนไปที่ช่องตั้งค่านั้น พร้อมกรอบเรืองขึ้นชั่วครู่</t>
  </si>
  <si>
    <t xml:space="preserve">ขั้นที่ 2 ผังของแผน</t>
  </si>
  <si>
    <t xml:space="preserve">กดกล่อง 'คนขาย' แล้วข้ามไปขั้นที่ 3 ที่ช่องอัตราเริ่มต้นทั้งบริษัท</t>
  </si>
  <si>
    <t xml:space="preserve">ขั้นที่ 2 → ขั้นที่ 3</t>
  </si>
  <si>
    <t xml:space="preserve">Tab เข้ากล่องในผังได้ และกด Enter / Space แล้วทำงานเหมือนคลิก</t>
  </si>
  <si>
    <t xml:space="preserve">ขั้นที่ 2 ผังของแผน (แป้นพิมพ์)</t>
  </si>
  <si>
    <t xml:space="preserve">หมายเหตุ</t>
  </si>
  <si>
    <t xml:space="preserve">· บริษัทที่ 'ยังไม่ขาย' ต้องยังเปลี่ยนแผนได้ตามปกติ — ถ้าอยากทดสอบด้านนี้ ให้สร้างบริษัทเปล่าขึ้นมาเอง</t>
  </si>
  <si>
    <t xml:space="preserve">· ช่องสีเหลืองคือช่องที่ผู้ทดสอบกรอก ช่องอื่นเป็นค่าที่คาดไว้ อย่าแก้</t>
  </si>
  <si>
    <t xml:space="preserve">ตั้งจ่าย → ตรวจสอบ → โอน</t>
  </si>
  <si>
    <t xml:space="preserve">ตัวแทน UAT ทุกคนมีบัญชีธนาคารและเอกสารยืนยันตัวตนครบแล้ว จึงขึ้นในคิว 'ตั้งจ่ายได้เลย' ได้ · เลขบัญชีและเลขเอกสารขึ้นต้นด้วย UAT และเป็นหนังสือเดินทางไม่ใช่เลขบัตรประชาชน จึงไม่มีทางชนกับข้อมูลของคนจริงในระบบค้นหา</t>
  </si>
  <si>
    <t xml:space="preserve">แถบเหลือง 'มีค่าแนะนำ แต่ตั้งจ่ายไม่ได้' ต้องหายไป และทั้ง 4 คนย้ายมาอยู่ขั้นที่ 1</t>
  </si>
  <si>
    <t xml:space="preserve">UAT · Unilevel → จ่ายค่าแนะนำ</t>
  </si>
  <si>
    <t xml:space="preserve">ขั้นที่ 1 ต้องขึ้น 4 คน รวม ฿1,900</t>
  </si>
  <si>
    <t xml:space="preserve">หน้าเดียวกัน</t>
  </si>
  <si>
    <t xml:space="preserve">ติ๊กทั้ง 4 คนแล้วตั้งจ่าย → ต้องย้ายไปขั้นที่ 2 'รอคุณตรวจสอบ' ครบ</t>
  </si>
  <si>
    <t xml:space="preserve">อนุมัติ → ย้ายไปขั้นที่ 3 'รอฝ่ายบัญชีโอน' · ยอดยังเท่าเดิม</t>
  </si>
  <si>
    <t xml:space="preserve">บันทึกการโอน → ย้ายไป 'โอนแล้ว' และแถวในบัญชีเปลี่ยนเป็นจ่ายแล้ว</t>
  </si>
  <si>
    <t xml:space="preserve">ขั้นที่ 3</t>
  </si>
  <si>
    <t xml:space="preserve">ไฟล์ CSV สำหรับโอน ดาวน์โหลดได้และมีเลขบัญชี UAT ครบทุกคน</t>
  </si>
  <si>
    <t xml:space="preserve">ปุ่มมุมขวาบน</t>
  </si>
  <si>
    <t xml:space="preserve">บริษัท Affiliate หักภาษี ณ ที่จ่าย 3% — ยอดที่ได้ ฿1,000 ต้องโอนจริง ฿970 และหน้าจอต้องบอกทั้งสองยอด</t>
  </si>
  <si>
    <t xml:space="preserve">UAT · Affiliate → จ่ายค่าแนะนำ</t>
  </si>
  <si>
    <t xml:space="preserve">อีกห้าบริษัทต้องไม่มีบรรทัดภาษีเลย (ไม่ใช่ขึ้น 0.00)</t>
  </si>
  <si>
    <t xml:space="preserve">บริษัทอื่น ๆ</t>
  </si>
  <si>
    <t xml:space="preserve">ลองลบบัญชีธนาคารของตัวแทนหนึ่งคนออก → เขาต้องหลุดจากขั้นที่ 1 กลับไปอยู่แถบเหลืองทันที</t>
  </si>
  <si>
    <t xml:space="preserve">จัดการผู้ใช้ระบบ → กลับมาหน้าจ่าย</t>
  </si>
  <si>
    <t xml:space="preserve">· อัตราภาษี 3% เป็นค่าทดสอบ ไม่ใช่ข้อเสนอว่าควรหักเท่าไร (BR-7) — อัตราจริงยังรอคุณกำหนด</t>
  </si>
  <si>
    <t xml:space="preserve">· ข้อ 9 เป็นการทดสอบย้อนทาง: ด่านกันโอนเงินต้องปิดกลับได้ ไม่ใช่เปิดแล้วเปิดค้าง</t>
  </si>
  <si>
    <t xml:space="preserve">· การคืนเงินและการกลับรายการค่าคอมยังไม่อยู่ในชุดนี้ — เป็นทางเดินอีกเส้นและควรมีชุดทดสอบแยก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</si>
</sst>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A54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1E2A5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2A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7556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A54"/>
        <bgColor rgb="FF003366"/>
      </patternFill>
    </fill>
    <fill>
      <patternFill patternType="solid">
        <fgColor rgb="FFF1F5F9"/>
        <bgColor rgb="FFFFFFFF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6"/>
  </cols>
  <sheetData>
    <row r="2" customFormat="false" ht="17.9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45" hidden="false" customHeight="true" outlineLevel="0" collapsed="false">
      <c r="B7" s="3" t="s">
        <v>4</v>
      </c>
      <c r="C7" s="4" t="s">
        <v>5</v>
      </c>
    </row>
    <row r="9" customFormat="false" ht="45" hidden="false" customHeight="true" outlineLevel="0" collapsed="false">
      <c r="B9" s="3" t="s">
        <v>6</v>
      </c>
      <c r="C9" s="4" t="s">
        <v>7</v>
      </c>
    </row>
    <row r="11" customFormat="false" ht="30" hidden="false" customHeight="true" outlineLevel="0" collapsed="false">
      <c r="B11" s="3" t="s">
        <v>8</v>
      </c>
      <c r="C11" s="4" t="s">
        <v>9</v>
      </c>
    </row>
    <row r="13" customFormat="false" ht="45" hidden="false" customHeight="true" outlineLevel="0" collapsed="false">
      <c r="B13" s="3" t="s">
        <v>10</v>
      </c>
      <c r="C13" s="4" t="s">
        <v>11</v>
      </c>
    </row>
    <row r="15" customFormat="false" ht="30" hidden="false" customHeight="true" outlineLevel="0" collapsed="false">
      <c r="B15" s="3" t="s">
        <v>12</v>
      </c>
      <c r="C15" s="4" t="s">
        <v>13</v>
      </c>
    </row>
    <row r="17" customFormat="false" ht="30" hidden="false" customHeight="true" outlineLevel="0" collapsed="false">
      <c r="B17" s="3" t="s">
        <v>14</v>
      </c>
      <c r="C17" s="4" t="s">
        <v>15</v>
      </c>
    </row>
    <row r="19" customFormat="false" ht="45" hidden="false" customHeight="true" outlineLevel="0" collapsed="false">
      <c r="B19" s="3" t="s">
        <v>16</v>
      </c>
      <c r="C19" s="4" t="s">
        <v>17</v>
      </c>
    </row>
    <row r="21" customFormat="false" ht="30" hidden="false" customHeight="true" outlineLevel="0" collapsed="false">
      <c r="B21" s="3" t="s">
        <v>18</v>
      </c>
      <c r="C21" s="4" t="s">
        <v>19</v>
      </c>
    </row>
    <row r="24" customFormat="false" ht="15" hidden="false" customHeight="false" outlineLevel="0" collapsed="false">
      <c r="B24" s="5" t="s">
        <v>20</v>
      </c>
    </row>
    <row r="25" customFormat="false" ht="27.75" hidden="false" customHeight="true" outlineLevel="0" collapsed="false">
      <c r="A25" s="6"/>
      <c r="B25" s="6" t="s">
        <v>21</v>
      </c>
      <c r="C25" s="6" t="s">
        <v>22</v>
      </c>
    </row>
    <row r="26" customFormat="false" ht="15" hidden="false" customHeight="false" outlineLevel="0" collapsed="false">
      <c r="B26" s="7" t="s">
        <v>23</v>
      </c>
      <c r="C26" s="8" t="n">
        <f aca="false">SUM('1 Unilevel'!D18:D21)</f>
        <v>1900</v>
      </c>
    </row>
    <row r="27" customFormat="false" ht="15" hidden="false" customHeight="false" outlineLevel="0" collapsed="false">
      <c r="B27" s="7" t="s">
        <v>24</v>
      </c>
      <c r="C27" s="8" t="n">
        <f aca="false">SUM('2 Binary'!D18:D20)</f>
        <v>3000</v>
      </c>
    </row>
    <row r="28" customFormat="false" ht="15" hidden="false" customHeight="false" outlineLevel="0" collapsed="false">
      <c r="B28" s="7" t="s">
        <v>25</v>
      </c>
      <c r="C28" s="8" t="n">
        <f aca="false">SUM('3 Matrix'!D18:D20)</f>
        <v>1260</v>
      </c>
    </row>
    <row r="29" customFormat="false" ht="15" hidden="false" customHeight="false" outlineLevel="0" collapsed="false">
      <c r="B29" s="7" t="s">
        <v>26</v>
      </c>
      <c r="C29" s="8" t="n">
        <f aca="false">SUM('4 Stairstep'!D17:D19)</f>
        <v>1500</v>
      </c>
    </row>
    <row r="30" customFormat="false" ht="15" hidden="false" customHeight="false" outlineLevel="0" collapsed="false">
      <c r="B30" s="7" t="s">
        <v>27</v>
      </c>
      <c r="C30" s="8" t="n">
        <f aca="false">SUM('5 Generation'!D17:D21)</f>
        <v>1800</v>
      </c>
    </row>
    <row r="31" customFormat="false" ht="15" hidden="false" customHeight="false" outlineLevel="0" collapsed="false">
      <c r="B31" s="7" t="s">
        <v>28</v>
      </c>
      <c r="C31" s="8" t="n">
        <f aca="false">SUM('6 Affiliate'!D17:D18)</f>
        <v>1300</v>
      </c>
    </row>
    <row r="33" customFormat="false" ht="15" hidden="false" customHeight="false" outlineLevel="0" collapsed="false">
      <c r="C33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30</v>
      </c>
    </row>
    <row r="2" customFormat="false" ht="23.85" hidden="false" customHeight="false" outlineLevel="0" collapsed="false">
      <c r="A2" s="2" t="s">
        <v>31</v>
      </c>
    </row>
    <row r="3" customFormat="false" ht="30" hidden="false" customHeight="true" outlineLevel="0" collapsed="false">
      <c r="A3" s="2" t="s">
        <v>32</v>
      </c>
    </row>
    <row r="5" customFormat="false" ht="15" hidden="false" customHeight="false" outlineLevel="0" collapsed="false">
      <c r="A5" s="5" t="s">
        <v>33</v>
      </c>
    </row>
    <row r="6" customFormat="false" ht="27.75" hidden="false" customHeight="true" outlineLevel="0" collapsed="false">
      <c r="A6" s="6" t="s">
        <v>34</v>
      </c>
      <c r="B6" s="6" t="s">
        <v>35</v>
      </c>
      <c r="C6" s="6" t="s">
        <v>36</v>
      </c>
      <c r="D6" s="6"/>
      <c r="E6" s="6"/>
      <c r="F6" s="6"/>
    </row>
    <row r="7" customFormat="false" ht="15" hidden="false" customHeight="false" outlineLevel="0" collapsed="false">
      <c r="A7" s="9" t="s">
        <v>37</v>
      </c>
      <c r="B7" s="9" t="s">
        <v>23</v>
      </c>
      <c r="C7" s="10"/>
    </row>
    <row r="8" customFormat="false" ht="15" hidden="false" customHeight="false" outlineLevel="0" collapsed="false">
      <c r="A8" s="11" t="s">
        <v>38</v>
      </c>
      <c r="B8" s="11" t="s">
        <v>39</v>
      </c>
      <c r="C8" s="10"/>
    </row>
    <row r="9" customFormat="false" ht="15" hidden="false" customHeight="false" outlineLevel="0" collapsed="false">
      <c r="A9" s="9" t="s">
        <v>40</v>
      </c>
      <c r="B9" s="9" t="s">
        <v>41</v>
      </c>
      <c r="C9" s="10"/>
    </row>
    <row r="10" customFormat="false" ht="15" hidden="false" customHeight="false" outlineLevel="0" collapsed="false">
      <c r="A10" s="11" t="s">
        <v>42</v>
      </c>
      <c r="B10" s="11" t="s">
        <v>43</v>
      </c>
      <c r="C10" s="10"/>
    </row>
    <row r="11" customFormat="false" ht="15" hidden="false" customHeight="false" outlineLevel="0" collapsed="false">
      <c r="A11" s="9" t="s">
        <v>44</v>
      </c>
      <c r="B11" s="9" t="s">
        <v>45</v>
      </c>
      <c r="C11" s="10"/>
    </row>
    <row r="12" customFormat="false" ht="15" hidden="false" customHeight="false" outlineLevel="0" collapsed="false">
      <c r="A12" s="11" t="s">
        <v>46</v>
      </c>
      <c r="B12" s="11" t="s">
        <v>47</v>
      </c>
      <c r="C12" s="10"/>
    </row>
    <row r="13" customFormat="false" ht="15" hidden="false" customHeight="false" outlineLevel="0" collapsed="false">
      <c r="A13" s="9" t="s">
        <v>48</v>
      </c>
      <c r="B13" s="9" t="s">
        <v>49</v>
      </c>
      <c r="C13" s="10"/>
    </row>
    <row r="14" customFormat="false" ht="23.85" hidden="false" customHeight="false" outlineLevel="0" collapsed="false">
      <c r="A14" s="11" t="s">
        <v>50</v>
      </c>
      <c r="B14" s="11" t="s">
        <v>51</v>
      </c>
      <c r="C14" s="10"/>
    </row>
    <row r="16" customFormat="false" ht="15" hidden="false" customHeight="false" outlineLevel="0" collapsed="false">
      <c r="A16" s="5" t="s">
        <v>52</v>
      </c>
    </row>
    <row r="17" customFormat="false" ht="27.75" hidden="false" customHeight="true" outlineLevel="0" collapsed="false">
      <c r="A17" s="6" t="s">
        <v>53</v>
      </c>
      <c r="B17" s="6" t="s">
        <v>54</v>
      </c>
      <c r="C17" s="6" t="s">
        <v>55</v>
      </c>
      <c r="D17" s="6" t="s">
        <v>56</v>
      </c>
      <c r="E17" s="6" t="s">
        <v>57</v>
      </c>
      <c r="F17" s="6" t="s">
        <v>58</v>
      </c>
    </row>
    <row r="18" customFormat="false" ht="15" hidden="false" customHeight="false" outlineLevel="0" collapsed="false">
      <c r="A18" s="11" t="s">
        <v>59</v>
      </c>
      <c r="B18" s="11" t="s">
        <v>60</v>
      </c>
      <c r="C18" s="11" t="s">
        <v>41</v>
      </c>
      <c r="D18" s="12" t="n">
        <v>1000</v>
      </c>
      <c r="E18" s="11" t="s">
        <v>61</v>
      </c>
      <c r="F18" s="10"/>
    </row>
    <row r="19" customFormat="false" ht="15" hidden="false" customHeight="false" outlineLevel="0" collapsed="false">
      <c r="A19" s="11" t="s">
        <v>62</v>
      </c>
      <c r="B19" s="11" t="s">
        <v>63</v>
      </c>
      <c r="C19" s="11" t="s">
        <v>43</v>
      </c>
      <c r="D19" s="12" t="n">
        <v>500</v>
      </c>
      <c r="E19" s="11" t="s">
        <v>64</v>
      </c>
      <c r="F19" s="10"/>
    </row>
    <row r="20" customFormat="false" ht="15" hidden="false" customHeight="false" outlineLevel="0" collapsed="false">
      <c r="A20" s="11" t="s">
        <v>65</v>
      </c>
      <c r="B20" s="11" t="s">
        <v>63</v>
      </c>
      <c r="C20" s="11" t="s">
        <v>45</v>
      </c>
      <c r="D20" s="12" t="n">
        <v>300</v>
      </c>
      <c r="E20" s="11" t="s">
        <v>66</v>
      </c>
      <c r="F20" s="10"/>
    </row>
    <row r="21" customFormat="false" ht="15" hidden="false" customHeight="false" outlineLevel="0" collapsed="false">
      <c r="A21" s="11" t="s">
        <v>67</v>
      </c>
      <c r="B21" s="11" t="s">
        <v>63</v>
      </c>
      <c r="C21" s="11" t="s">
        <v>47</v>
      </c>
      <c r="D21" s="12" t="n">
        <v>100</v>
      </c>
      <c r="E21" s="11" t="s">
        <v>68</v>
      </c>
      <c r="F21" s="10"/>
    </row>
    <row r="22" customFormat="false" ht="15" hidden="false" customHeight="false" outlineLevel="0" collapsed="false">
      <c r="C22" s="13" t="s">
        <v>69</v>
      </c>
      <c r="D22" s="14" t="n">
        <f aca="false">SUM(D18:D21)</f>
        <v>1900</v>
      </c>
    </row>
    <row r="24" customFormat="false" ht="15" hidden="false" customHeight="false" outlineLevel="0" collapsed="false">
      <c r="A24" s="5" t="s">
        <v>70</v>
      </c>
    </row>
    <row r="25" customFormat="false" ht="15" hidden="false" customHeight="true" outlineLevel="0" collapsed="false">
      <c r="A25" s="15" t="s">
        <v>71</v>
      </c>
      <c r="B25" s="15"/>
      <c r="C25" s="15"/>
      <c r="D25" s="15"/>
      <c r="E25" s="15"/>
      <c r="F25" s="15"/>
    </row>
    <row r="26" customFormat="false" ht="15" hidden="false" customHeight="true" outlineLevel="0" collapsed="false">
      <c r="A26" s="15" t="s">
        <v>72</v>
      </c>
      <c r="B26" s="15"/>
      <c r="C26" s="15"/>
      <c r="D26" s="15"/>
      <c r="E26" s="15"/>
      <c r="F26" s="15"/>
    </row>
    <row r="28" customFormat="false" ht="15" hidden="false" customHeight="false" outlineLevel="0" collapsed="false">
      <c r="A28" s="5" t="s">
        <v>73</v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3">
    <mergeCell ref="A25:F25"/>
    <mergeCell ref="A26:F26"/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74</v>
      </c>
    </row>
    <row r="2" customFormat="false" ht="23.85" hidden="false" customHeight="false" outlineLevel="0" collapsed="false">
      <c r="A2" s="2" t="s">
        <v>75</v>
      </c>
    </row>
    <row r="3" customFormat="false" ht="30" hidden="false" customHeight="true" outlineLevel="0" collapsed="false">
      <c r="A3" s="2" t="s">
        <v>76</v>
      </c>
    </row>
    <row r="5" customFormat="false" ht="15" hidden="false" customHeight="false" outlineLevel="0" collapsed="false">
      <c r="A5" s="5" t="s">
        <v>33</v>
      </c>
    </row>
    <row r="6" customFormat="false" ht="27.75" hidden="false" customHeight="true" outlineLevel="0" collapsed="false">
      <c r="A6" s="6" t="s">
        <v>34</v>
      </c>
      <c r="B6" s="6" t="s">
        <v>35</v>
      </c>
      <c r="C6" s="6" t="s">
        <v>36</v>
      </c>
      <c r="D6" s="6"/>
      <c r="E6" s="6"/>
      <c r="F6" s="6"/>
    </row>
    <row r="7" customFormat="false" ht="15" hidden="false" customHeight="false" outlineLevel="0" collapsed="false">
      <c r="A7" s="9" t="s">
        <v>37</v>
      </c>
      <c r="B7" s="9" t="s">
        <v>24</v>
      </c>
      <c r="C7" s="10"/>
    </row>
    <row r="8" customFormat="false" ht="15" hidden="false" customHeight="false" outlineLevel="0" collapsed="false">
      <c r="A8" s="11" t="s">
        <v>38</v>
      </c>
      <c r="B8" s="11" t="s">
        <v>39</v>
      </c>
      <c r="C8" s="10"/>
    </row>
    <row r="9" customFormat="false" ht="15" hidden="false" customHeight="false" outlineLevel="0" collapsed="false">
      <c r="A9" s="9" t="s">
        <v>40</v>
      </c>
      <c r="B9" s="9" t="s">
        <v>41</v>
      </c>
      <c r="C9" s="10"/>
    </row>
    <row r="10" customFormat="false" ht="15" hidden="false" customHeight="false" outlineLevel="0" collapsed="false">
      <c r="A10" s="11" t="s">
        <v>77</v>
      </c>
      <c r="B10" s="11" t="s">
        <v>41</v>
      </c>
      <c r="C10" s="10"/>
    </row>
    <row r="11" customFormat="false" ht="15" hidden="false" customHeight="false" outlineLevel="0" collapsed="false">
      <c r="A11" s="9" t="s">
        <v>78</v>
      </c>
      <c r="B11" s="9" t="s">
        <v>79</v>
      </c>
      <c r="C11" s="10"/>
    </row>
    <row r="12" customFormat="false" ht="15" hidden="false" customHeight="false" outlineLevel="0" collapsed="false">
      <c r="A12" s="11" t="s">
        <v>80</v>
      </c>
      <c r="B12" s="11" t="s">
        <v>81</v>
      </c>
      <c r="C12" s="10"/>
    </row>
    <row r="13" customFormat="false" ht="15" hidden="false" customHeight="false" outlineLevel="0" collapsed="false">
      <c r="A13" s="9" t="s">
        <v>82</v>
      </c>
      <c r="B13" s="9" t="s">
        <v>83</v>
      </c>
      <c r="C13" s="10"/>
    </row>
    <row r="14" customFormat="false" ht="23.85" hidden="false" customHeight="false" outlineLevel="0" collapsed="false">
      <c r="A14" s="11" t="s">
        <v>50</v>
      </c>
      <c r="B14" s="11" t="s">
        <v>84</v>
      </c>
      <c r="C14" s="10"/>
    </row>
    <row r="16" customFormat="false" ht="15" hidden="false" customHeight="false" outlineLevel="0" collapsed="false">
      <c r="A16" s="5" t="s">
        <v>52</v>
      </c>
    </row>
    <row r="17" customFormat="false" ht="27.75" hidden="false" customHeight="true" outlineLevel="0" collapsed="false">
      <c r="A17" s="6" t="s">
        <v>53</v>
      </c>
      <c r="B17" s="6" t="s">
        <v>54</v>
      </c>
      <c r="C17" s="6" t="s">
        <v>55</v>
      </c>
      <c r="D17" s="6" t="s">
        <v>56</v>
      </c>
      <c r="E17" s="6" t="s">
        <v>57</v>
      </c>
      <c r="F17" s="6" t="s">
        <v>58</v>
      </c>
    </row>
    <row r="18" customFormat="false" ht="15" hidden="false" customHeight="false" outlineLevel="0" collapsed="false">
      <c r="A18" s="11" t="s">
        <v>85</v>
      </c>
      <c r="B18" s="11" t="s">
        <v>60</v>
      </c>
      <c r="C18" s="11" t="s">
        <v>41</v>
      </c>
      <c r="D18" s="12" t="n">
        <v>1000</v>
      </c>
      <c r="E18" s="11" t="s">
        <v>61</v>
      </c>
      <c r="F18" s="10"/>
    </row>
    <row r="19" customFormat="false" ht="15" hidden="false" customHeight="false" outlineLevel="0" collapsed="false">
      <c r="A19" s="11" t="s">
        <v>86</v>
      </c>
      <c r="B19" s="11" t="s">
        <v>60</v>
      </c>
      <c r="C19" s="11" t="s">
        <v>41</v>
      </c>
      <c r="D19" s="12" t="n">
        <v>1000</v>
      </c>
      <c r="E19" s="11" t="s">
        <v>61</v>
      </c>
      <c r="F19" s="10"/>
    </row>
    <row r="20" customFormat="false" ht="23.85" hidden="false" customHeight="false" outlineLevel="0" collapsed="false">
      <c r="A20" s="11" t="s">
        <v>87</v>
      </c>
      <c r="B20" s="11" t="s">
        <v>88</v>
      </c>
      <c r="C20" s="11" t="s">
        <v>41</v>
      </c>
      <c r="D20" s="12" t="n">
        <v>1000</v>
      </c>
      <c r="E20" s="11" t="s">
        <v>89</v>
      </c>
      <c r="F20" s="10"/>
    </row>
    <row r="21" customFormat="false" ht="15" hidden="false" customHeight="false" outlineLevel="0" collapsed="false">
      <c r="C21" s="13" t="s">
        <v>69</v>
      </c>
      <c r="D21" s="14" t="n">
        <f aca="false">SUM(D18:D20)</f>
        <v>3000</v>
      </c>
    </row>
    <row r="23" customFormat="false" ht="15" hidden="false" customHeight="false" outlineLevel="0" collapsed="false">
      <c r="A23" s="5" t="s">
        <v>70</v>
      </c>
    </row>
    <row r="24" customFormat="false" ht="15" hidden="false" customHeight="true" outlineLevel="0" collapsed="false">
      <c r="A24" s="15" t="s">
        <v>90</v>
      </c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5" t="s">
        <v>91</v>
      </c>
      <c r="B25" s="15"/>
      <c r="C25" s="15"/>
      <c r="D25" s="15"/>
      <c r="E25" s="15"/>
      <c r="F25" s="15"/>
    </row>
    <row r="26" customFormat="false" ht="30" hidden="false" customHeight="true" outlineLevel="0" collapsed="false">
      <c r="A26" s="15" t="s">
        <v>92</v>
      </c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5" t="s">
        <v>93</v>
      </c>
      <c r="B27" s="15"/>
      <c r="C27" s="15"/>
      <c r="D27" s="15"/>
      <c r="E27" s="15"/>
      <c r="F27" s="15"/>
    </row>
    <row r="29" customFormat="false" ht="15" hidden="false" customHeight="false" outlineLevel="0" collapsed="false">
      <c r="A29" s="5" t="s">
        <v>73</v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</row>
  </sheetData>
  <mergeCells count="5">
    <mergeCell ref="A24:F24"/>
    <mergeCell ref="A25:F25"/>
    <mergeCell ref="A26:F26"/>
    <mergeCell ref="A27:F27"/>
    <mergeCell ref="A30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94</v>
      </c>
    </row>
    <row r="2" customFormat="false" ht="35.05" hidden="false" customHeight="false" outlineLevel="0" collapsed="false">
      <c r="A2" s="2" t="s">
        <v>95</v>
      </c>
    </row>
    <row r="3" customFormat="false" ht="30" hidden="false" customHeight="true" outlineLevel="0" collapsed="false">
      <c r="A3" s="2" t="s">
        <v>96</v>
      </c>
    </row>
    <row r="5" customFormat="false" ht="15" hidden="false" customHeight="false" outlineLevel="0" collapsed="false">
      <c r="A5" s="5" t="s">
        <v>33</v>
      </c>
    </row>
    <row r="6" customFormat="false" ht="27.75" hidden="false" customHeight="true" outlineLevel="0" collapsed="false">
      <c r="A6" s="6" t="s">
        <v>34</v>
      </c>
      <c r="B6" s="6" t="s">
        <v>35</v>
      </c>
      <c r="C6" s="6" t="s">
        <v>36</v>
      </c>
      <c r="D6" s="6"/>
      <c r="E6" s="6"/>
      <c r="F6" s="6"/>
    </row>
    <row r="7" customFormat="false" ht="15" hidden="false" customHeight="false" outlineLevel="0" collapsed="false">
      <c r="A7" s="9" t="s">
        <v>37</v>
      </c>
      <c r="B7" s="9" t="s">
        <v>25</v>
      </c>
      <c r="C7" s="10"/>
    </row>
    <row r="8" customFormat="false" ht="15" hidden="false" customHeight="false" outlineLevel="0" collapsed="false">
      <c r="A8" s="11" t="s">
        <v>38</v>
      </c>
      <c r="B8" s="11" t="s">
        <v>97</v>
      </c>
      <c r="C8" s="10"/>
    </row>
    <row r="9" customFormat="false" ht="15" hidden="false" customHeight="false" outlineLevel="0" collapsed="false">
      <c r="A9" s="9" t="s">
        <v>98</v>
      </c>
      <c r="B9" s="9" t="s">
        <v>99</v>
      </c>
      <c r="C9" s="10"/>
    </row>
    <row r="10" customFormat="false" ht="15" hidden="false" customHeight="false" outlineLevel="0" collapsed="false">
      <c r="A10" s="11" t="s">
        <v>40</v>
      </c>
      <c r="B10" s="11" t="s">
        <v>41</v>
      </c>
      <c r="C10" s="10"/>
    </row>
    <row r="11" customFormat="false" ht="15" hidden="false" customHeight="false" outlineLevel="0" collapsed="false">
      <c r="A11" s="9" t="s">
        <v>100</v>
      </c>
      <c r="B11" s="9" t="s">
        <v>101</v>
      </c>
      <c r="C11" s="10"/>
    </row>
    <row r="12" customFormat="false" ht="15" hidden="false" customHeight="false" outlineLevel="0" collapsed="false">
      <c r="A12" s="11" t="s">
        <v>102</v>
      </c>
      <c r="B12" s="11" t="s">
        <v>43</v>
      </c>
      <c r="C12" s="10"/>
    </row>
    <row r="13" customFormat="false" ht="15" hidden="false" customHeight="false" outlineLevel="0" collapsed="false">
      <c r="A13" s="9" t="s">
        <v>103</v>
      </c>
      <c r="B13" s="9" t="s">
        <v>45</v>
      </c>
      <c r="C13" s="10"/>
    </row>
    <row r="14" customFormat="false" ht="23.85" hidden="false" customHeight="false" outlineLevel="0" collapsed="false">
      <c r="A14" s="11" t="s">
        <v>104</v>
      </c>
      <c r="B14" s="11" t="s">
        <v>105</v>
      </c>
      <c r="C14" s="10"/>
    </row>
    <row r="16" customFormat="false" ht="15" hidden="false" customHeight="false" outlineLevel="0" collapsed="false">
      <c r="A16" s="5" t="s">
        <v>52</v>
      </c>
    </row>
    <row r="17" customFormat="false" ht="27.75" hidden="false" customHeight="true" outlineLevel="0" collapsed="false">
      <c r="A17" s="6" t="s">
        <v>53</v>
      </c>
      <c r="B17" s="6" t="s">
        <v>54</v>
      </c>
      <c r="C17" s="6" t="s">
        <v>55</v>
      </c>
      <c r="D17" s="6" t="s">
        <v>56</v>
      </c>
      <c r="E17" s="6" t="s">
        <v>57</v>
      </c>
      <c r="F17" s="6" t="s">
        <v>58</v>
      </c>
    </row>
    <row r="18" customFormat="false" ht="15" hidden="false" customHeight="false" outlineLevel="0" collapsed="false">
      <c r="A18" s="11" t="s">
        <v>59</v>
      </c>
      <c r="B18" s="11" t="s">
        <v>60</v>
      </c>
      <c r="C18" s="11" t="s">
        <v>41</v>
      </c>
      <c r="D18" s="12" t="n">
        <v>700</v>
      </c>
      <c r="E18" s="11" t="s">
        <v>106</v>
      </c>
      <c r="F18" s="10"/>
    </row>
    <row r="19" customFormat="false" ht="15" hidden="false" customHeight="false" outlineLevel="0" collapsed="false">
      <c r="A19" s="11" t="s">
        <v>107</v>
      </c>
      <c r="B19" s="11" t="s">
        <v>108</v>
      </c>
      <c r="C19" s="11" t="s">
        <v>43</v>
      </c>
      <c r="D19" s="12" t="n">
        <v>350</v>
      </c>
      <c r="E19" s="11" t="s">
        <v>109</v>
      </c>
      <c r="F19" s="10"/>
    </row>
    <row r="20" customFormat="false" ht="15" hidden="false" customHeight="false" outlineLevel="0" collapsed="false">
      <c r="A20" s="11" t="s">
        <v>110</v>
      </c>
      <c r="B20" s="11" t="s">
        <v>108</v>
      </c>
      <c r="C20" s="11" t="s">
        <v>45</v>
      </c>
      <c r="D20" s="12" t="n">
        <v>210</v>
      </c>
      <c r="E20" s="11" t="s">
        <v>111</v>
      </c>
      <c r="F20" s="10"/>
    </row>
    <row r="21" customFormat="false" ht="15" hidden="false" customHeight="false" outlineLevel="0" collapsed="false">
      <c r="C21" s="13" t="s">
        <v>69</v>
      </c>
      <c r="D21" s="14" t="n">
        <f aca="false">SUM(D18:D20)</f>
        <v>1260</v>
      </c>
    </row>
    <row r="23" customFormat="false" ht="15" hidden="false" customHeight="false" outlineLevel="0" collapsed="false">
      <c r="A23" s="5" t="s">
        <v>70</v>
      </c>
    </row>
    <row r="24" customFormat="false" ht="15" hidden="false" customHeight="true" outlineLevel="0" collapsed="false">
      <c r="A24" s="15" t="s">
        <v>112</v>
      </c>
      <c r="B24" s="15"/>
      <c r="C24" s="15"/>
      <c r="D24" s="15"/>
      <c r="E24" s="15"/>
      <c r="F24" s="15"/>
    </row>
    <row r="25" customFormat="false" ht="30" hidden="false" customHeight="true" outlineLevel="0" collapsed="false">
      <c r="A25" s="15" t="s">
        <v>113</v>
      </c>
      <c r="B25" s="15"/>
      <c r="C25" s="15"/>
      <c r="D25" s="15"/>
      <c r="E25" s="15"/>
      <c r="F25" s="15"/>
    </row>
    <row r="26" customFormat="false" ht="15" hidden="false" customHeight="true" outlineLevel="0" collapsed="false">
      <c r="A26" s="15" t="s">
        <v>114</v>
      </c>
      <c r="B26" s="15"/>
      <c r="C26" s="15"/>
      <c r="D26" s="15"/>
      <c r="E26" s="15"/>
      <c r="F26" s="15"/>
    </row>
    <row r="28" customFormat="false" ht="15" hidden="false" customHeight="false" outlineLevel="0" collapsed="false">
      <c r="A28" s="5" t="s">
        <v>73</v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4">
    <mergeCell ref="A24:F24"/>
    <mergeCell ref="A25:F25"/>
    <mergeCell ref="A26:F26"/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115</v>
      </c>
    </row>
    <row r="2" customFormat="false" ht="35.05" hidden="false" customHeight="false" outlineLevel="0" collapsed="false">
      <c r="A2" s="2" t="s">
        <v>116</v>
      </c>
    </row>
    <row r="3" customFormat="false" ht="30" hidden="false" customHeight="true" outlineLevel="0" collapsed="false">
      <c r="A3" s="2" t="s">
        <v>117</v>
      </c>
    </row>
    <row r="5" customFormat="false" ht="15" hidden="false" customHeight="false" outlineLevel="0" collapsed="false">
      <c r="A5" s="5" t="s">
        <v>33</v>
      </c>
    </row>
    <row r="6" customFormat="false" ht="27.75" hidden="false" customHeight="true" outlineLevel="0" collapsed="false">
      <c r="A6" s="6" t="s">
        <v>34</v>
      </c>
      <c r="B6" s="6" t="s">
        <v>35</v>
      </c>
      <c r="C6" s="6" t="s">
        <v>36</v>
      </c>
      <c r="D6" s="6"/>
      <c r="E6" s="6"/>
      <c r="F6" s="6"/>
    </row>
    <row r="7" customFormat="false" ht="15" hidden="false" customHeight="false" outlineLevel="0" collapsed="false">
      <c r="A7" s="9" t="s">
        <v>37</v>
      </c>
      <c r="B7" s="9" t="s">
        <v>118</v>
      </c>
      <c r="C7" s="10"/>
    </row>
    <row r="8" customFormat="false" ht="15" hidden="false" customHeight="false" outlineLevel="0" collapsed="false">
      <c r="A8" s="11" t="s">
        <v>38</v>
      </c>
      <c r="B8" s="11" t="s">
        <v>39</v>
      </c>
      <c r="C8" s="10"/>
    </row>
    <row r="9" customFormat="false" ht="23.85" hidden="false" customHeight="false" outlineLevel="0" collapsed="false">
      <c r="A9" s="9" t="s">
        <v>40</v>
      </c>
      <c r="B9" s="9" t="s">
        <v>119</v>
      </c>
      <c r="C9" s="10"/>
    </row>
    <row r="10" customFormat="false" ht="15" hidden="false" customHeight="false" outlineLevel="0" collapsed="false">
      <c r="A10" s="11" t="s">
        <v>120</v>
      </c>
      <c r="B10" s="11" t="s">
        <v>121</v>
      </c>
      <c r="C10" s="10"/>
    </row>
    <row r="11" customFormat="false" ht="15" hidden="false" customHeight="false" outlineLevel="0" collapsed="false">
      <c r="A11" s="9" t="s">
        <v>122</v>
      </c>
      <c r="B11" s="9" t="s">
        <v>123</v>
      </c>
      <c r="C11" s="10"/>
    </row>
    <row r="12" customFormat="false" ht="23.85" hidden="false" customHeight="false" outlineLevel="0" collapsed="false">
      <c r="A12" s="11" t="s">
        <v>124</v>
      </c>
      <c r="B12" s="11" t="s">
        <v>125</v>
      </c>
      <c r="C12" s="10"/>
    </row>
    <row r="13" customFormat="false" ht="23.85" hidden="false" customHeight="false" outlineLevel="0" collapsed="false">
      <c r="A13" s="9" t="s">
        <v>50</v>
      </c>
      <c r="B13" s="9" t="s">
        <v>126</v>
      </c>
      <c r="C13" s="10"/>
    </row>
    <row r="15" customFormat="false" ht="15" hidden="false" customHeight="false" outlineLevel="0" collapsed="false">
      <c r="A15" s="5" t="s">
        <v>52</v>
      </c>
    </row>
    <row r="16" customFormat="false" ht="27.75" hidden="false" customHeight="true" outlineLevel="0" collapsed="false">
      <c r="A16" s="6" t="s">
        <v>53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customFormat="false" ht="15" hidden="false" customHeight="false" outlineLevel="0" collapsed="false">
      <c r="A17" s="11" t="s">
        <v>59</v>
      </c>
      <c r="B17" s="11" t="s">
        <v>60</v>
      </c>
      <c r="C17" s="11" t="s">
        <v>43</v>
      </c>
      <c r="D17" s="12" t="n">
        <v>500</v>
      </c>
      <c r="E17" s="11" t="s">
        <v>64</v>
      </c>
      <c r="F17" s="10"/>
    </row>
    <row r="18" customFormat="false" ht="15" hidden="false" customHeight="false" outlineLevel="0" collapsed="false">
      <c r="A18" s="11" t="s">
        <v>127</v>
      </c>
      <c r="B18" s="11" t="s">
        <v>128</v>
      </c>
      <c r="C18" s="11" t="s">
        <v>43</v>
      </c>
      <c r="D18" s="12" t="n">
        <v>500</v>
      </c>
      <c r="E18" s="11" t="s">
        <v>129</v>
      </c>
      <c r="F18" s="10"/>
    </row>
    <row r="19" customFormat="false" ht="15" hidden="false" customHeight="false" outlineLevel="0" collapsed="false">
      <c r="A19" s="11" t="s">
        <v>130</v>
      </c>
      <c r="B19" s="11" t="s">
        <v>128</v>
      </c>
      <c r="C19" s="11" t="s">
        <v>43</v>
      </c>
      <c r="D19" s="12" t="n">
        <v>500</v>
      </c>
      <c r="E19" s="11" t="s">
        <v>131</v>
      </c>
      <c r="F19" s="10"/>
    </row>
    <row r="20" customFormat="false" ht="15" hidden="false" customHeight="false" outlineLevel="0" collapsed="false">
      <c r="C20" s="13" t="s">
        <v>69</v>
      </c>
      <c r="D20" s="14" t="n">
        <f aca="false">SUM(D17:D19)</f>
        <v>1500</v>
      </c>
    </row>
    <row r="22" customFormat="false" ht="15" hidden="false" customHeight="false" outlineLevel="0" collapsed="false">
      <c r="A22" s="5" t="s">
        <v>70</v>
      </c>
    </row>
    <row r="23" customFormat="false" ht="15" hidden="false" customHeight="true" outlineLevel="0" collapsed="false">
      <c r="A23" s="15" t="s">
        <v>132</v>
      </c>
      <c r="B23" s="15"/>
      <c r="C23" s="15"/>
      <c r="D23" s="15"/>
      <c r="E23" s="15"/>
      <c r="F23" s="15"/>
    </row>
    <row r="24" customFormat="false" ht="30" hidden="false" customHeight="true" outlineLevel="0" collapsed="false">
      <c r="A24" s="15" t="s">
        <v>133</v>
      </c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5" t="s">
        <v>134</v>
      </c>
      <c r="B25" s="15"/>
      <c r="C25" s="15"/>
      <c r="D25" s="15"/>
      <c r="E25" s="15"/>
      <c r="F25" s="15"/>
    </row>
    <row r="27" customFormat="false" ht="15" hidden="false" customHeight="false" outlineLevel="0" collapsed="false">
      <c r="A27" s="5" t="s">
        <v>73</v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</sheetData>
  <mergeCells count="4">
    <mergeCell ref="A23:F23"/>
    <mergeCell ref="A24:F24"/>
    <mergeCell ref="A25:F25"/>
    <mergeCell ref="A28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135</v>
      </c>
    </row>
    <row r="2" customFormat="false" ht="23.85" hidden="false" customHeight="false" outlineLevel="0" collapsed="false">
      <c r="A2" s="2" t="s">
        <v>136</v>
      </c>
    </row>
    <row r="3" customFormat="false" ht="30" hidden="false" customHeight="true" outlineLevel="0" collapsed="false">
      <c r="A3" s="2" t="s">
        <v>137</v>
      </c>
    </row>
    <row r="5" customFormat="false" ht="15" hidden="false" customHeight="false" outlineLevel="0" collapsed="false">
      <c r="A5" s="5" t="s">
        <v>33</v>
      </c>
    </row>
    <row r="6" customFormat="false" ht="27.75" hidden="false" customHeight="true" outlineLevel="0" collapsed="false">
      <c r="A6" s="6" t="s">
        <v>34</v>
      </c>
      <c r="B6" s="6" t="s">
        <v>35</v>
      </c>
      <c r="C6" s="6" t="s">
        <v>36</v>
      </c>
      <c r="D6" s="6"/>
      <c r="E6" s="6"/>
      <c r="F6" s="6"/>
    </row>
    <row r="7" customFormat="false" ht="15" hidden="false" customHeight="false" outlineLevel="0" collapsed="false">
      <c r="A7" s="9" t="s">
        <v>37</v>
      </c>
      <c r="B7" s="9" t="s">
        <v>27</v>
      </c>
      <c r="C7" s="10"/>
    </row>
    <row r="8" customFormat="false" ht="15" hidden="false" customHeight="false" outlineLevel="0" collapsed="false">
      <c r="A8" s="11" t="s">
        <v>38</v>
      </c>
      <c r="B8" s="11" t="s">
        <v>39</v>
      </c>
      <c r="C8" s="10"/>
    </row>
    <row r="9" customFormat="false" ht="15" hidden="false" customHeight="false" outlineLevel="0" collapsed="false">
      <c r="A9" s="9" t="s">
        <v>40</v>
      </c>
      <c r="B9" s="9" t="s">
        <v>41</v>
      </c>
      <c r="C9" s="10"/>
    </row>
    <row r="10" customFormat="false" ht="15" hidden="false" customHeight="false" outlineLevel="0" collapsed="false">
      <c r="A10" s="11" t="s">
        <v>138</v>
      </c>
      <c r="B10" s="11" t="s">
        <v>139</v>
      </c>
      <c r="C10" s="10"/>
    </row>
    <row r="11" customFormat="false" ht="15" hidden="false" customHeight="false" outlineLevel="0" collapsed="false">
      <c r="A11" s="9" t="s">
        <v>140</v>
      </c>
      <c r="B11" s="9" t="s">
        <v>43</v>
      </c>
      <c r="C11" s="10"/>
    </row>
    <row r="12" customFormat="false" ht="15" hidden="false" customHeight="false" outlineLevel="0" collapsed="false">
      <c r="A12" s="11" t="s">
        <v>141</v>
      </c>
      <c r="B12" s="11" t="s">
        <v>45</v>
      </c>
      <c r="C12" s="10"/>
    </row>
    <row r="13" customFormat="false" ht="23.85" hidden="false" customHeight="false" outlineLevel="0" collapsed="false">
      <c r="A13" s="9" t="s">
        <v>50</v>
      </c>
      <c r="B13" s="9" t="s">
        <v>142</v>
      </c>
      <c r="C13" s="10"/>
    </row>
    <row r="15" customFormat="false" ht="15" hidden="false" customHeight="false" outlineLevel="0" collapsed="false">
      <c r="A15" s="5" t="s">
        <v>52</v>
      </c>
    </row>
    <row r="16" customFormat="false" ht="27.75" hidden="false" customHeight="true" outlineLevel="0" collapsed="false">
      <c r="A16" s="6" t="s">
        <v>53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customFormat="false" ht="15" hidden="false" customHeight="false" outlineLevel="0" collapsed="false">
      <c r="A17" s="11" t="s">
        <v>59</v>
      </c>
      <c r="B17" s="11" t="s">
        <v>60</v>
      </c>
      <c r="C17" s="11" t="s">
        <v>41</v>
      </c>
      <c r="D17" s="12" t="n">
        <v>1000</v>
      </c>
      <c r="E17" s="11" t="s">
        <v>61</v>
      </c>
      <c r="F17" s="10"/>
    </row>
    <row r="18" customFormat="false" ht="15" hidden="false" customHeight="false" outlineLevel="0" collapsed="false">
      <c r="A18" s="17" t="s">
        <v>143</v>
      </c>
      <c r="B18" s="9" t="s">
        <v>144</v>
      </c>
      <c r="C18" s="9" t="s">
        <v>144</v>
      </c>
      <c r="D18" s="18" t="n">
        <v>0</v>
      </c>
      <c r="E18" s="9" t="s">
        <v>145</v>
      </c>
      <c r="F18" s="10"/>
    </row>
    <row r="19" customFormat="false" ht="15" hidden="false" customHeight="false" outlineLevel="0" collapsed="false">
      <c r="A19" s="11" t="s">
        <v>146</v>
      </c>
      <c r="B19" s="11" t="s">
        <v>147</v>
      </c>
      <c r="C19" s="11" t="s">
        <v>43</v>
      </c>
      <c r="D19" s="12" t="n">
        <v>500</v>
      </c>
      <c r="E19" s="11" t="s">
        <v>148</v>
      </c>
      <c r="F19" s="10"/>
    </row>
    <row r="20" customFormat="false" ht="15" hidden="false" customHeight="false" outlineLevel="0" collapsed="false">
      <c r="A20" s="17" t="s">
        <v>149</v>
      </c>
      <c r="B20" s="9" t="s">
        <v>144</v>
      </c>
      <c r="C20" s="9" t="s">
        <v>144</v>
      </c>
      <c r="D20" s="18" t="n">
        <v>0</v>
      </c>
      <c r="E20" s="9" t="s">
        <v>145</v>
      </c>
      <c r="F20" s="10"/>
    </row>
    <row r="21" customFormat="false" ht="15" hidden="false" customHeight="false" outlineLevel="0" collapsed="false">
      <c r="A21" s="11" t="s">
        <v>150</v>
      </c>
      <c r="B21" s="11" t="s">
        <v>147</v>
      </c>
      <c r="C21" s="11" t="s">
        <v>45</v>
      </c>
      <c r="D21" s="12" t="n">
        <v>300</v>
      </c>
      <c r="E21" s="11" t="s">
        <v>151</v>
      </c>
      <c r="F21" s="10"/>
    </row>
    <row r="22" customFormat="false" ht="15" hidden="false" customHeight="false" outlineLevel="0" collapsed="false">
      <c r="C22" s="13" t="s">
        <v>69</v>
      </c>
      <c r="D22" s="14" t="n">
        <f aca="false">SUM(D17:D21)</f>
        <v>1800</v>
      </c>
    </row>
    <row r="24" customFormat="false" ht="15" hidden="false" customHeight="false" outlineLevel="0" collapsed="false">
      <c r="A24" s="5" t="s">
        <v>70</v>
      </c>
    </row>
    <row r="25" customFormat="false" ht="30" hidden="false" customHeight="true" outlineLevel="0" collapsed="false">
      <c r="A25" s="15" t="s">
        <v>152</v>
      </c>
      <c r="B25" s="15"/>
      <c r="C25" s="15"/>
      <c r="D25" s="15"/>
      <c r="E25" s="15"/>
      <c r="F25" s="15"/>
    </row>
    <row r="26" customFormat="false" ht="15" hidden="false" customHeight="true" outlineLevel="0" collapsed="false">
      <c r="A26" s="15" t="s">
        <v>153</v>
      </c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5" t="s">
        <v>154</v>
      </c>
      <c r="B27" s="15"/>
      <c r="C27" s="15"/>
      <c r="D27" s="15"/>
      <c r="E27" s="15"/>
      <c r="F27" s="15"/>
    </row>
    <row r="29" customFormat="false" ht="15" hidden="false" customHeight="false" outlineLevel="0" collapsed="false">
      <c r="A29" s="5" t="s">
        <v>73</v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</row>
  </sheetData>
  <mergeCells count="4">
    <mergeCell ref="A25:F25"/>
    <mergeCell ref="A26:F26"/>
    <mergeCell ref="A27:F27"/>
    <mergeCell ref="A30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155</v>
      </c>
    </row>
    <row r="2" customFormat="false" ht="23.85" hidden="false" customHeight="false" outlineLevel="0" collapsed="false">
      <c r="A2" s="2" t="s">
        <v>156</v>
      </c>
    </row>
    <row r="3" customFormat="false" ht="30" hidden="false" customHeight="true" outlineLevel="0" collapsed="false">
      <c r="A3" s="2" t="s">
        <v>157</v>
      </c>
    </row>
    <row r="5" customFormat="false" ht="15" hidden="false" customHeight="false" outlineLevel="0" collapsed="false">
      <c r="A5" s="5" t="s">
        <v>33</v>
      </c>
    </row>
    <row r="6" customFormat="false" ht="27.75" hidden="false" customHeight="true" outlineLevel="0" collapsed="false">
      <c r="A6" s="6" t="s">
        <v>34</v>
      </c>
      <c r="B6" s="6" t="s">
        <v>35</v>
      </c>
      <c r="C6" s="6" t="s">
        <v>36</v>
      </c>
      <c r="D6" s="6"/>
      <c r="E6" s="6"/>
      <c r="F6" s="6"/>
    </row>
    <row r="7" customFormat="false" ht="15" hidden="false" customHeight="false" outlineLevel="0" collapsed="false">
      <c r="A7" s="9" t="s">
        <v>37</v>
      </c>
      <c r="B7" s="9" t="s">
        <v>28</v>
      </c>
      <c r="C7" s="10"/>
    </row>
    <row r="8" customFormat="false" ht="15" hidden="false" customHeight="false" outlineLevel="0" collapsed="false">
      <c r="A8" s="11" t="s">
        <v>38</v>
      </c>
      <c r="B8" s="11" t="s">
        <v>39</v>
      </c>
      <c r="C8" s="10"/>
    </row>
    <row r="9" customFormat="false" ht="15" hidden="false" customHeight="false" outlineLevel="0" collapsed="false">
      <c r="A9" s="9" t="s">
        <v>40</v>
      </c>
      <c r="B9" s="9" t="s">
        <v>41</v>
      </c>
      <c r="C9" s="10"/>
    </row>
    <row r="10" customFormat="false" ht="15" hidden="false" customHeight="false" outlineLevel="0" collapsed="false">
      <c r="A10" s="11" t="s">
        <v>158</v>
      </c>
      <c r="B10" s="11" t="s">
        <v>45</v>
      </c>
      <c r="C10" s="10"/>
    </row>
    <row r="11" customFormat="false" ht="15" hidden="false" customHeight="false" outlineLevel="0" collapsed="false">
      <c r="A11" s="9" t="s">
        <v>159</v>
      </c>
      <c r="B11" s="9" t="s">
        <v>49</v>
      </c>
      <c r="C11" s="10"/>
    </row>
    <row r="12" customFormat="false" ht="23.85" hidden="false" customHeight="false" outlineLevel="0" collapsed="false">
      <c r="A12" s="11" t="s">
        <v>160</v>
      </c>
      <c r="B12" s="11" t="s">
        <v>161</v>
      </c>
      <c r="C12" s="10"/>
    </row>
    <row r="13" customFormat="false" ht="15" hidden="false" customHeight="false" outlineLevel="0" collapsed="false">
      <c r="A13" s="9" t="s">
        <v>50</v>
      </c>
      <c r="B13" s="9" t="s">
        <v>162</v>
      </c>
      <c r="C13" s="10"/>
    </row>
    <row r="15" customFormat="false" ht="15" hidden="false" customHeight="false" outlineLevel="0" collapsed="false">
      <c r="A15" s="5" t="s">
        <v>52</v>
      </c>
    </row>
    <row r="16" customFormat="false" ht="27.75" hidden="false" customHeight="true" outlineLevel="0" collapsed="false">
      <c r="A16" s="6" t="s">
        <v>53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customFormat="false" ht="15" hidden="false" customHeight="false" outlineLevel="0" collapsed="false">
      <c r="A17" s="11" t="s">
        <v>59</v>
      </c>
      <c r="B17" s="11" t="s">
        <v>60</v>
      </c>
      <c r="C17" s="11" t="s">
        <v>41</v>
      </c>
      <c r="D17" s="12" t="n">
        <v>1000</v>
      </c>
      <c r="E17" s="11" t="s">
        <v>163</v>
      </c>
      <c r="F17" s="10"/>
    </row>
    <row r="18" customFormat="false" ht="15" hidden="false" customHeight="false" outlineLevel="0" collapsed="false">
      <c r="A18" s="11" t="s">
        <v>164</v>
      </c>
      <c r="B18" s="11" t="s">
        <v>63</v>
      </c>
      <c r="C18" s="11" t="s">
        <v>45</v>
      </c>
      <c r="D18" s="12" t="n">
        <v>300</v>
      </c>
      <c r="E18" s="11" t="s">
        <v>165</v>
      </c>
      <c r="F18" s="10"/>
    </row>
    <row r="19" customFormat="false" ht="15" hidden="false" customHeight="false" outlineLevel="0" collapsed="false">
      <c r="C19" s="13" t="s">
        <v>69</v>
      </c>
      <c r="D19" s="14" t="n">
        <f aca="false">SUM(D17:D18)</f>
        <v>1300</v>
      </c>
    </row>
    <row r="21" customFormat="false" ht="15" hidden="false" customHeight="false" outlineLevel="0" collapsed="false">
      <c r="A21" s="5" t="s">
        <v>70</v>
      </c>
    </row>
    <row r="22" customFormat="false" ht="15" hidden="false" customHeight="true" outlineLevel="0" collapsed="false">
      <c r="A22" s="15" t="s">
        <v>166</v>
      </c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5" t="s">
        <v>167</v>
      </c>
      <c r="B23" s="15"/>
      <c r="C23" s="15"/>
      <c r="D23" s="15"/>
      <c r="E23" s="15"/>
      <c r="F23" s="15"/>
    </row>
    <row r="24" customFormat="false" ht="15" hidden="false" customHeight="true" outlineLevel="0" collapsed="false">
      <c r="A24" s="15" t="s">
        <v>168</v>
      </c>
      <c r="B24" s="15"/>
      <c r="C24" s="15"/>
      <c r="D24" s="15"/>
      <c r="E24" s="15"/>
      <c r="F24" s="15"/>
    </row>
    <row r="26" customFormat="false" ht="15" hidden="false" customHeight="false" outlineLevel="0" collapsed="false">
      <c r="A26" s="5" t="s">
        <v>73</v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</sheetData>
  <mergeCells count="4">
    <mergeCell ref="A22:F22"/>
    <mergeCell ref="A23:F23"/>
    <mergeCell ref="A24:F24"/>
    <mergeCell ref="A27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44"/>
    <col collapsed="false" customWidth="true" hidden="false" outlineLevel="0" max="4" min="4" style="0" width="16"/>
  </cols>
  <sheetData>
    <row r="1" customFormat="false" ht="18.55" hidden="false" customHeight="false" outlineLevel="0" collapsed="false">
      <c r="A1" s="1" t="s">
        <v>169</v>
      </c>
    </row>
    <row r="2" customFormat="false" ht="30" hidden="false" customHeight="true" outlineLevel="0" collapsed="false">
      <c r="A2" s="2" t="s">
        <v>170</v>
      </c>
    </row>
    <row r="4" customFormat="false" ht="27.75" hidden="false" customHeight="true" outlineLevel="0" collapsed="false">
      <c r="A4" s="6" t="s">
        <v>171</v>
      </c>
      <c r="B4" s="6" t="s">
        <v>172</v>
      </c>
      <c r="C4" s="6" t="s">
        <v>173</v>
      </c>
      <c r="D4" s="6" t="s">
        <v>58</v>
      </c>
    </row>
    <row r="5" customFormat="false" ht="23.85" hidden="false" customHeight="false" outlineLevel="0" collapsed="false">
      <c r="A5" s="9" t="n">
        <v>1</v>
      </c>
      <c r="B5" s="9" t="s">
        <v>174</v>
      </c>
      <c r="C5" s="9" t="s">
        <v>175</v>
      </c>
      <c r="D5" s="10"/>
    </row>
    <row r="6" customFormat="false" ht="15" hidden="false" customHeight="false" outlineLevel="0" collapsed="false">
      <c r="A6" s="11" t="n">
        <v>2</v>
      </c>
      <c r="B6" s="11" t="s">
        <v>176</v>
      </c>
      <c r="C6" s="11" t="s">
        <v>177</v>
      </c>
      <c r="D6" s="10"/>
    </row>
    <row r="7" customFormat="false" ht="15" hidden="false" customHeight="false" outlineLevel="0" collapsed="false">
      <c r="A7" s="9" t="n">
        <v>3</v>
      </c>
      <c r="B7" s="9" t="s">
        <v>178</v>
      </c>
      <c r="C7" s="9" t="s">
        <v>179</v>
      </c>
      <c r="D7" s="10"/>
    </row>
    <row r="8" customFormat="false" ht="15" hidden="false" customHeight="false" outlineLevel="0" collapsed="false">
      <c r="A8" s="11" t="n">
        <v>4</v>
      </c>
      <c r="B8" s="11" t="s">
        <v>180</v>
      </c>
      <c r="C8" s="11" t="s">
        <v>179</v>
      </c>
      <c r="D8" s="10"/>
    </row>
    <row r="9" customFormat="false" ht="15" hidden="false" customHeight="false" outlineLevel="0" collapsed="false">
      <c r="A9" s="9" t="n">
        <v>5</v>
      </c>
      <c r="B9" s="9" t="s">
        <v>181</v>
      </c>
      <c r="C9" s="9" t="s">
        <v>182</v>
      </c>
      <c r="D9" s="10"/>
    </row>
    <row r="10" customFormat="false" ht="23.85" hidden="false" customHeight="false" outlineLevel="0" collapsed="false">
      <c r="A10" s="11" t="n">
        <v>6</v>
      </c>
      <c r="B10" s="11" t="s">
        <v>183</v>
      </c>
      <c r="C10" s="11" t="s">
        <v>184</v>
      </c>
      <c r="D10" s="10"/>
    </row>
    <row r="11" customFormat="false" ht="15" hidden="false" customHeight="false" outlineLevel="0" collapsed="false">
      <c r="A11" s="9" t="n">
        <v>7</v>
      </c>
      <c r="B11" s="9" t="s">
        <v>185</v>
      </c>
      <c r="C11" s="9" t="s">
        <v>186</v>
      </c>
      <c r="D11" s="10"/>
    </row>
    <row r="12" customFormat="false" ht="15" hidden="false" customHeight="false" outlineLevel="0" collapsed="false">
      <c r="A12" s="11" t="n">
        <v>8</v>
      </c>
      <c r="B12" s="11" t="s">
        <v>187</v>
      </c>
      <c r="C12" s="11" t="s">
        <v>188</v>
      </c>
      <c r="D12" s="10"/>
    </row>
    <row r="13" customFormat="false" ht="15" hidden="false" customHeight="false" outlineLevel="0" collapsed="false">
      <c r="A13" s="9" t="n">
        <v>9</v>
      </c>
      <c r="B13" s="9" t="s">
        <v>189</v>
      </c>
      <c r="C13" s="9" t="s">
        <v>190</v>
      </c>
      <c r="D13" s="10"/>
    </row>
    <row r="16" customFormat="false" ht="15" hidden="false" customHeight="false" outlineLevel="0" collapsed="false">
      <c r="A16" s="5" t="s">
        <v>191</v>
      </c>
    </row>
    <row r="17" customFormat="false" ht="12.65" hidden="false" customHeight="false" outlineLevel="0" collapsed="false">
      <c r="A17" s="19" t="s">
        <v>192</v>
      </c>
      <c r="B17" s="19"/>
      <c r="C17" s="19"/>
      <c r="D17" s="19"/>
    </row>
    <row r="18" customFormat="false" ht="12.65" hidden="false" customHeight="false" outlineLevel="0" collapsed="false">
      <c r="A18" s="19" t="s">
        <v>193</v>
      </c>
      <c r="B18" s="19"/>
      <c r="C18" s="19"/>
      <c r="D18" s="19"/>
    </row>
  </sheetData>
  <mergeCells count="2"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44"/>
    <col collapsed="false" customWidth="true" hidden="false" outlineLevel="0" max="4" min="4" style="0" width="16"/>
  </cols>
  <sheetData>
    <row r="1" customFormat="false" ht="18.55" hidden="false" customHeight="false" outlineLevel="0" collapsed="false">
      <c r="A1" s="1" t="s">
        <v>194</v>
      </c>
    </row>
    <row r="2" customFormat="false" ht="43.5" hidden="false" customHeight="true" outlineLevel="0" collapsed="false">
      <c r="A2" s="2" t="s">
        <v>195</v>
      </c>
    </row>
    <row r="4" customFormat="false" ht="27.75" hidden="false" customHeight="true" outlineLevel="0" collapsed="false">
      <c r="A4" s="6" t="s">
        <v>171</v>
      </c>
      <c r="B4" s="6" t="s">
        <v>172</v>
      </c>
      <c r="C4" s="6" t="s">
        <v>173</v>
      </c>
      <c r="D4" s="6" t="s">
        <v>58</v>
      </c>
    </row>
    <row r="5" customFormat="false" ht="15" hidden="false" customHeight="false" outlineLevel="0" collapsed="false">
      <c r="A5" s="9" t="n">
        <v>1</v>
      </c>
      <c r="B5" s="9" t="s">
        <v>196</v>
      </c>
      <c r="C5" s="9" t="s">
        <v>197</v>
      </c>
      <c r="D5" s="10"/>
    </row>
    <row r="6" customFormat="false" ht="15" hidden="false" customHeight="false" outlineLevel="0" collapsed="false">
      <c r="A6" s="11" t="n">
        <v>2</v>
      </c>
      <c r="B6" s="11" t="s">
        <v>198</v>
      </c>
      <c r="C6" s="11" t="s">
        <v>199</v>
      </c>
      <c r="D6" s="10"/>
    </row>
    <row r="7" customFormat="false" ht="15" hidden="false" customHeight="false" outlineLevel="0" collapsed="false">
      <c r="A7" s="9" t="n">
        <v>3</v>
      </c>
      <c r="B7" s="9" t="s">
        <v>200</v>
      </c>
      <c r="C7" s="9" t="s">
        <v>199</v>
      </c>
      <c r="D7" s="10"/>
    </row>
    <row r="8" customFormat="false" ht="15" hidden="false" customHeight="false" outlineLevel="0" collapsed="false">
      <c r="A8" s="11" t="n">
        <v>4</v>
      </c>
      <c r="B8" s="11" t="s">
        <v>201</v>
      </c>
      <c r="C8" s="11" t="s">
        <v>177</v>
      </c>
      <c r="D8" s="10"/>
    </row>
    <row r="9" customFormat="false" ht="15" hidden="false" customHeight="false" outlineLevel="0" collapsed="false">
      <c r="A9" s="9" t="n">
        <v>5</v>
      </c>
      <c r="B9" s="9" t="s">
        <v>202</v>
      </c>
      <c r="C9" s="9" t="s">
        <v>203</v>
      </c>
      <c r="D9" s="10"/>
    </row>
    <row r="10" customFormat="false" ht="15" hidden="false" customHeight="false" outlineLevel="0" collapsed="false">
      <c r="A10" s="11" t="n">
        <v>6</v>
      </c>
      <c r="B10" s="11" t="s">
        <v>204</v>
      </c>
      <c r="C10" s="11" t="s">
        <v>205</v>
      </c>
      <c r="D10" s="10"/>
    </row>
    <row r="11" customFormat="false" ht="23.85" hidden="false" customHeight="false" outlineLevel="0" collapsed="false">
      <c r="A11" s="9" t="n">
        <v>7</v>
      </c>
      <c r="B11" s="9" t="s">
        <v>206</v>
      </c>
      <c r="C11" s="9" t="s">
        <v>207</v>
      </c>
      <c r="D11" s="10"/>
    </row>
    <row r="12" customFormat="false" ht="15" hidden="false" customHeight="false" outlineLevel="0" collapsed="false">
      <c r="A12" s="11" t="n">
        <v>8</v>
      </c>
      <c r="B12" s="11" t="s">
        <v>208</v>
      </c>
      <c r="C12" s="11" t="s">
        <v>209</v>
      </c>
      <c r="D12" s="10"/>
    </row>
    <row r="13" customFormat="false" ht="23.85" hidden="false" customHeight="false" outlineLevel="0" collapsed="false">
      <c r="A13" s="9" t="n">
        <v>9</v>
      </c>
      <c r="B13" s="9" t="s">
        <v>210</v>
      </c>
      <c r="C13" s="9" t="s">
        <v>211</v>
      </c>
      <c r="D13" s="10"/>
    </row>
    <row r="16" customFormat="false" ht="15" hidden="false" customHeight="false" outlineLevel="0" collapsed="false">
      <c r="A16" s="5" t="s">
        <v>191</v>
      </c>
    </row>
    <row r="17" customFormat="false" ht="12.65" hidden="false" customHeight="false" outlineLevel="0" collapsed="false">
      <c r="A17" s="19" t="s">
        <v>212</v>
      </c>
      <c r="B17" s="19"/>
      <c r="C17" s="19"/>
      <c r="D17" s="19"/>
    </row>
    <row r="18" customFormat="false" ht="12.65" hidden="false" customHeight="false" outlineLevel="0" collapsed="false">
      <c r="A18" s="19" t="s">
        <v>213</v>
      </c>
      <c r="B18" s="19"/>
      <c r="C18" s="19"/>
      <c r="D18" s="19"/>
    </row>
    <row r="19" customFormat="false" ht="12.65" hidden="false" customHeight="false" outlineLevel="0" collapsed="false">
      <c r="A19" s="19" t="s">
        <v>214</v>
      </c>
      <c r="B19" s="19"/>
      <c r="C19" s="19"/>
      <c r="D19" s="19"/>
    </row>
  </sheetData>
  <mergeCells count="3"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2026-09-22T01:57:49Z</dcterms:created>
  <dc:creator>openpyxl</dc:creator>
  <dc:description/>
  <dc:language>en-US</dc:language>
  <cp:lastModifiedBy/>
  <dcterms:modified xsi:type="dcterms:W3CDTF">2026-09-22T01:57:49Z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